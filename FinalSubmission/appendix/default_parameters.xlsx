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O:\HouseHeatingModel\Daten\house_config\"/>
    </mc:Choice>
  </mc:AlternateContent>
  <xr:revisionPtr revIDLastSave="0" documentId="13_ncr:1_{A44AE501-5735-4908-AA65-12FF2512BC3E}" xr6:coauthVersionLast="47" xr6:coauthVersionMax="47" xr10:uidLastSave="{00000000-0000-0000-0000-000000000000}"/>
  <bookViews>
    <workbookView xWindow="-38520" yWindow="-5430" windowWidth="38640" windowHeight="21240" tabRatio="500" xr2:uid="{00000000-000D-0000-FFFF-FFFF00000000}"/>
  </bookViews>
  <sheets>
    <sheet name="Sheet1" sheetId="1" r:id="rId1"/>
    <sheet name="Sheet2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6" i="1" l="1"/>
  <c r="D117" i="1"/>
  <c r="D104" i="1"/>
  <c r="D95" i="1"/>
  <c r="D94" i="1"/>
  <c r="D79" i="1"/>
  <c r="D38" i="1"/>
  <c r="D30" i="1"/>
  <c r="D24" i="1"/>
  <c r="D11" i="1"/>
  <c r="D2" i="1"/>
</calcChain>
</file>

<file path=xl/sharedStrings.xml><?xml version="1.0" encoding="utf-8"?>
<sst xmlns="http://schemas.openxmlformats.org/spreadsheetml/2006/main" count="633" uniqueCount="185">
  <si>
    <t>Class</t>
  </si>
  <si>
    <t>Parameter</t>
  </si>
  <si>
    <t>Type</t>
  </si>
  <si>
    <t>Default Value</t>
  </si>
  <si>
    <t>Category</t>
  </si>
  <si>
    <t>Label english</t>
  </si>
  <si>
    <t>Reference/Comment</t>
  </si>
  <si>
    <t>HeatStorage</t>
  </si>
  <si>
    <t>active</t>
  </si>
  <si>
    <t>bool</t>
  </si>
  <si>
    <t>Active?</t>
  </si>
  <si>
    <t>costs_installation</t>
  </si>
  <si>
    <t>double</t>
  </si>
  <si>
    <t>Costs</t>
  </si>
  <si>
    <t>Installation costs [€]</t>
  </si>
  <si>
    <t>subsidies_percent</t>
  </si>
  <si>
    <t>Subsidies [%]</t>
  </si>
  <si>
    <t>costs_maintenance</t>
  </si>
  <si>
    <t>Maintenance/Service costs per year [€]</t>
  </si>
  <si>
    <t>priority</t>
  </si>
  <si>
    <t>int</t>
  </si>
  <si>
    <t>Heating</t>
  </si>
  <si>
    <t>Usage Priority [1]</t>
  </si>
  <si>
    <t>capacity_liter</t>
  </si>
  <si>
    <t>Capacity [Liter]</t>
  </si>
  <si>
    <t>temperature_min_degree_celcius</t>
  </si>
  <si>
    <t>Min. Temperature [°C]</t>
  </si>
  <si>
    <t>temperature_max_degree_celcius</t>
  </si>
  <si>
    <t>Max. Temperature [°C]</t>
  </si>
  <si>
    <t>self_discharge_percent_per_day</t>
  </si>
  <si>
    <t>Self-Discharge per Day [%]</t>
  </si>
  <si>
    <t>SolarThermal</t>
  </si>
  <si>
    <t>costs_per_m2</t>
  </si>
  <si>
    <t>Costs per 1m² panel [€]</t>
  </si>
  <si>
    <t>inclination_roof_degree</t>
  </si>
  <si>
    <t>Construction</t>
  </si>
  <si>
    <t>Inclination [°]</t>
  </si>
  <si>
    <t>orientation_roof_degree</t>
  </si>
  <si>
    <t>Orientation (S=0°, W/E=90°, N=180°) [°]</t>
  </si>
  <si>
    <t>latitude</t>
  </si>
  <si>
    <t>Latitude [°]</t>
  </si>
  <si>
    <t>longitude</t>
  </si>
  <si>
    <t>Longitude [°]</t>
  </si>
  <si>
    <t>temperature_panel_mean</t>
  </si>
  <si>
    <t>Mean Panel Temperature [°C]</t>
  </si>
  <si>
    <t>area_panels_m2</t>
  </si>
  <si>
    <t>Panel Area [m²]</t>
  </si>
  <si>
    <t>power_max_W_per_m2</t>
  </si>
  <si>
    <t>Max. power per m² [W/m²]</t>
  </si>
  <si>
    <t>ElectricHeating</t>
  </si>
  <si>
    <t>power_max_W</t>
  </si>
  <si>
    <t>DistrictHeating</t>
  </si>
  <si>
    <t>price_power_euro_per_kW</t>
  </si>
  <si>
    <t>emissions_co2_kg_per_kWh</t>
  </si>
  <si>
    <t>Emissions</t>
  </si>
  <si>
    <t>GasHeating</t>
  </si>
  <si>
    <t>Building</t>
  </si>
  <si>
    <t>building_usage</t>
  </si>
  <si>
    <t>BuildingUsage</t>
  </si>
  <si>
    <t>PERMANENT</t>
  </si>
  <si>
    <t>Utilization</t>
  </si>
  <si>
    <t>Building usage</t>
  </si>
  <si>
    <t>factor_frost_protection</t>
  </si>
  <si>
    <t>Heating Usage</t>
  </si>
  <si>
    <t>Frost protection factor</t>
  </si>
  <si>
    <t>house_type</t>
  </si>
  <si>
    <t>HouseType</t>
  </si>
  <si>
    <t>DETACHED</t>
  </si>
  <si>
    <t>Situation of expansion</t>
  </si>
  <si>
    <t>house_layout</t>
  </si>
  <si>
    <t>HouseLayoutType</t>
  </si>
  <si>
    <t>COMPACT</t>
  </si>
  <si>
    <t>Layout of the house</t>
  </si>
  <si>
    <t>has_dormers</t>
  </si>
  <si>
    <t>Has dormers</t>
  </si>
  <si>
    <t>heating_type_basement</t>
  </si>
  <si>
    <t>BasementType</t>
  </si>
  <si>
    <t>NONE</t>
  </si>
  <si>
    <t>Type of the basement [none]</t>
  </si>
  <si>
    <t>heating_type_attic</t>
  </si>
  <si>
    <t>AtticType</t>
  </si>
  <si>
    <t>Type of the attic  [none]</t>
  </si>
  <si>
    <t>area_heated_living</t>
  </si>
  <si>
    <t>Heated living space area</t>
  </si>
  <si>
    <t>number_of_full_storeys</t>
  </si>
  <si>
    <t>Number of full storeys</t>
  </si>
  <si>
    <t>height_rooms</t>
  </si>
  <si>
    <t>Height of the rooms</t>
  </si>
  <si>
    <t>p_windows</t>
  </si>
  <si>
    <t>Window area per m2 of floor space [per m2]</t>
  </si>
  <si>
    <t>p_floor</t>
  </si>
  <si>
    <t>Floor area of floor space [per m2]</t>
  </si>
  <si>
    <t>duration_heating_period_days</t>
  </si>
  <si>
    <t>Heating period [days]</t>
  </si>
  <si>
    <t>full_load_hours_heating</t>
  </si>
  <si>
    <t xml:space="preserve">Full load of heating in hours </t>
  </si>
  <si>
    <t>temperature_hot_water_celsius</t>
  </si>
  <si>
    <t>Hot Water</t>
  </si>
  <si>
    <t>Temperature of hot water  [°C]</t>
  </si>
  <si>
    <t>temperature_cold_water_celsius</t>
  </si>
  <si>
    <t>Temperature of cold water  [°C]</t>
  </si>
  <si>
    <t>water_usage_habit</t>
  </si>
  <si>
    <t>WaterConsumptionPerPerson</t>
  </si>
  <si>
    <t>MODERATE</t>
  </si>
  <si>
    <t>Habit of water usage</t>
  </si>
  <si>
    <t>n_person</t>
  </si>
  <si>
    <t>Number of permanent tenants</t>
  </si>
  <si>
    <t>reduction_factor_lower_building_enclosure</t>
  </si>
  <si>
    <t>Reduction factor lower building enclosure</t>
  </si>
  <si>
    <t>reduction_factor_roof</t>
  </si>
  <si>
    <t>Roof’s reduction factor</t>
  </si>
  <si>
    <t>reduction_factor_upper_storey</t>
  </si>
  <si>
    <t>Upper storey’s reduction factor</t>
  </si>
  <si>
    <t>reduction_factor_windows</t>
  </si>
  <si>
    <t>Windows’ reduction factor</t>
  </si>
  <si>
    <t>reduction_factor_outer_wall_basement</t>
  </si>
  <si>
    <t>Outer basement wall’s reduction factor</t>
  </si>
  <si>
    <t>reduction_factor_outer_wall</t>
  </si>
  <si>
    <t>Outer wall’s reduction factor</t>
  </si>
  <si>
    <t>insulation_thickness_roof_cm</t>
  </si>
  <si>
    <t>Thickness of the roof insulation [cm]</t>
  </si>
  <si>
    <t>insulation_thickness_upper_storey_cm</t>
  </si>
  <si>
    <t>Thickness of the insulation in upper storey [cm]</t>
  </si>
  <si>
    <t>insulation_thickness_outer_wall_cm</t>
  </si>
  <si>
    <t>Thickness of the insulation of the outer wall [cm]</t>
  </si>
  <si>
    <t>building_age_class</t>
  </si>
  <si>
    <t>BETWEEN_1979_1983</t>
  </si>
  <si>
    <t xml:space="preserve">Class of the age of the building  </t>
  </si>
  <si>
    <t>material_roof</t>
  </si>
  <si>
    <t>ConstructionMaterial</t>
  </si>
  <si>
    <t>STONE</t>
  </si>
  <si>
    <t>Roof’s material</t>
  </si>
  <si>
    <t>material_upper_storey_ceiling</t>
  </si>
  <si>
    <t>Upper floor ceiling’s material</t>
  </si>
  <si>
    <t>material_outer_wall</t>
  </si>
  <si>
    <t>Outer wall’s material</t>
  </si>
  <si>
    <t>material_basement</t>
  </si>
  <si>
    <t>Basement’s material</t>
  </si>
  <si>
    <t>window_type</t>
  </si>
  <si>
    <t>WindowType</t>
  </si>
  <si>
    <t>Type of the window</t>
  </si>
  <si>
    <t>power_out_max_W</t>
  </si>
  <si>
    <t>ElectricWaterHeater</t>
  </si>
  <si>
    <t>power_in_max_W</t>
  </si>
  <si>
    <t>Max. power [W] (-1 for unlimited)</t>
  </si>
  <si>
    <t>efficiency</t>
  </si>
  <si>
    <t>Efficiency [1]</t>
  </si>
  <si>
    <t>HeatExchanger</t>
  </si>
  <si>
    <t>HeatPump</t>
  </si>
  <si>
    <t>HeatPumpType</t>
  </si>
  <si>
    <t>Type:</t>
  </si>
  <si>
    <t>floor_heating</t>
  </si>
  <si>
    <t>House has floor heating?</t>
  </si>
  <si>
    <t>HotWaterStorage</t>
  </si>
  <si>
    <t>WoodHeating</t>
  </si>
  <si>
    <t>WoodHeatingType</t>
  </si>
  <si>
    <t>Materials</t>
  </si>
  <si>
    <t>Wood type</t>
  </si>
  <si>
    <t>Categories</t>
  </si>
  <si>
    <t>Hot Water Usage</t>
  </si>
  <si>
    <t>Insulation</t>
  </si>
  <si>
    <t>BuildingAgeClass</t>
  </si>
  <si>
    <t>TWO_PANES_INSULATED_GLAZING</t>
  </si>
  <si>
    <t>Max. power [W]</t>
  </si>
  <si>
    <t>Max. POWER [W]</t>
  </si>
  <si>
    <t>Base costs for each kW [€/kW]</t>
  </si>
  <si>
    <t>CO2-Emissions [kg/kWh]</t>
  </si>
  <si>
    <t>heat_pump_type</t>
  </si>
  <si>
    <t>wood_type</t>
  </si>
  <si>
    <t>AIR</t>
  </si>
  <si>
    <t>LOGS</t>
  </si>
  <si>
    <t>costs_installation_air</t>
  </si>
  <si>
    <t>Installation costs for Air HP [€]</t>
  </si>
  <si>
    <t>costs_installation_water</t>
  </si>
  <si>
    <t>costs_installation_ground</t>
  </si>
  <si>
    <t>Installation costs for Water HP [€]</t>
  </si>
  <si>
    <t>Installation costs for Ground HP [€]</t>
  </si>
  <si>
    <t>costs_installation_pellets</t>
  </si>
  <si>
    <t>costs_installation_chips</t>
  </si>
  <si>
    <t>costs_installation_logs</t>
  </si>
  <si>
    <t>Installation costs for Chips WH [€]</t>
  </si>
  <si>
    <t>Installation costs for Pellets WH [€]</t>
  </si>
  <si>
    <t>Installation costs for Logs WH [€]</t>
  </si>
  <si>
    <t>[https://www.erdgas-suedwest.de/natuerlichzukunft/waermepumpe-gasheizung-kostenvergleich/] Die höheren Investitionskosten für Wärmepumpen lassen sich allerdings durch Förderungen stark reduzieren. Seit Anfang 2024 sind bis zu 70 % der Gesamtkosten förderfähig. Dabei sind die förderfähigen Gesamtkosten bei einem Einfamilienhaus bis zu einem Betrag von 30.000 Euro gedeckelt. Übersetzt bedeutet das, dass bei einer Luft-Wasser-Wärmepumpe der Preis entsprechend um bis zu 21.000 Euro günstiger ausfallen kann.
Wichtig: Um die maximale Fördersumme für Wärmepumpen auszuschöpfen, müssen verschiedene Komponenten des Förderprogramms miteinander kombiniert werden. Dabei ist die maximale Förderung bei 70 % gedeckelt. Grundsätzlich gelten folgende Fördersätze für 2024:
    30 % Basisförderung: Kann nicht nur von selbstnutzenden Hauseigentümer*innen, sondern z. B. auch von Vermietenden beantragt werden.
    20 % Klimageschwindigkeits-Bonus: Gilt nur für selbstnutzende Hauseigentümer*innen, die ihr altes fossiles Heizsystem bis 2028 gegen eine Wärmepumpe austauschen. Im Anschluss sinkt die Förderung alle 2 Jahre um 3 %, bis sie 2037 komplett ausläuft.
    30 % Einkommens-Bonus: Gilt nur für selbstnutzende Hauseigentümer*innen mit einem zu versteuernden Haushaltseinkommen von bis zu 40.000 Euro pro Jahr. Dieser Bonus soll den Umstieg auch einkommensschwachen Menschen ermöglichen.
    5 % Effizienz-Bonus: Gilt für alle Antragstellende, die auf eine Wärmepumpe umsteigen, die ein natürliches Kältemittel (z. B. Propan) oder als Energiequelle Erd-, Wasser- oder Abwasserwärme nutzt.</t>
  </si>
  <si>
    <t>Erfüllt man die Voraussetzungen für spezielle Wärmepumpenstrom-Tarife nicht, kann man trotzdem seit Januar 2024 von einer pauschalen Rückvergütung von im Schnitt ca. 150 Euro auf die jährliche Stromrechnung (Modul 1) profitieren.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</si>
</sst>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2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Fill="1" applyAlignment="1">
      <alignment vertical="top" wrapText="1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164" fontId="0" fillId="0" borderId="0" xfId="0" applyNumberFormat="1" applyAlignment="1">
      <alignment horizontal="center" vertical="top"/>
    </xf>
    <xf numFmtId="11" fontId="0" fillId="0" borderId="0" xfId="0" applyNumberFormat="1" applyAlignment="1">
      <alignment horizontal="center" vertical="top"/>
    </xf>
    <xf numFmtId="164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3"/>
  <sheetViews>
    <sheetView tabSelected="1" topLeftCell="A28" zoomScale="130" zoomScaleNormal="130" workbookViewId="0">
      <selection activeCell="D41" sqref="D41"/>
    </sheetView>
  </sheetViews>
  <sheetFormatPr defaultColWidth="8.88671875" defaultRowHeight="14.4" x14ac:dyDescent="0.3"/>
  <cols>
    <col min="1" max="1" width="20" style="2" customWidth="1"/>
    <col min="2" max="2" width="32" style="2" customWidth="1"/>
    <col min="3" max="3" width="18" style="2" customWidth="1"/>
    <col min="4" max="4" width="25.44140625" style="2" customWidth="1"/>
    <col min="5" max="5" width="22.44140625" style="2" customWidth="1"/>
    <col min="6" max="6" width="42.33203125" style="2" customWidth="1"/>
    <col min="7" max="7" width="94.5546875" style="2" customWidth="1"/>
  </cols>
  <sheetData>
    <row r="1" spans="1: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3">
      <c r="A2" s="6" t="s">
        <v>7</v>
      </c>
      <c r="B2" s="6" t="s">
        <v>8</v>
      </c>
      <c r="C2" s="6" t="s">
        <v>9</v>
      </c>
      <c r="D2" s="7" t="b">
        <f>FALSE()</f>
        <v>0</v>
      </c>
      <c r="E2" s="6"/>
      <c r="F2" s="6" t="s">
        <v>10</v>
      </c>
      <c r="G2" s="6"/>
    </row>
    <row r="3" spans="1:7" x14ac:dyDescent="0.3">
      <c r="A3" s="6" t="s">
        <v>7</v>
      </c>
      <c r="B3" s="6" t="s">
        <v>11</v>
      </c>
      <c r="C3" s="6" t="s">
        <v>12</v>
      </c>
      <c r="D3" s="6">
        <v>2000</v>
      </c>
      <c r="E3" s="6" t="s">
        <v>13</v>
      </c>
      <c r="F3" s="6" t="s">
        <v>14</v>
      </c>
      <c r="G3" s="6"/>
    </row>
    <row r="4" spans="1:7" x14ac:dyDescent="0.3">
      <c r="A4" s="6" t="s">
        <v>7</v>
      </c>
      <c r="B4" s="6" t="s">
        <v>15</v>
      </c>
      <c r="C4" s="6" t="s">
        <v>12</v>
      </c>
      <c r="D4" s="6">
        <v>30</v>
      </c>
      <c r="E4" s="6" t="s">
        <v>13</v>
      </c>
      <c r="F4" s="6" t="s">
        <v>16</v>
      </c>
      <c r="G4" s="6"/>
    </row>
    <row r="5" spans="1:7" x14ac:dyDescent="0.3">
      <c r="A5" s="6" t="s">
        <v>7</v>
      </c>
      <c r="B5" s="6" t="s">
        <v>17</v>
      </c>
      <c r="C5" s="6" t="s">
        <v>12</v>
      </c>
      <c r="D5" s="6">
        <v>0</v>
      </c>
      <c r="E5" s="6" t="s">
        <v>13</v>
      </c>
      <c r="F5" s="6" t="s">
        <v>18</v>
      </c>
      <c r="G5" s="6"/>
    </row>
    <row r="6" spans="1:7" x14ac:dyDescent="0.3">
      <c r="A6" s="6" t="s">
        <v>7</v>
      </c>
      <c r="B6" s="6" t="s">
        <v>19</v>
      </c>
      <c r="C6" s="6" t="s">
        <v>20</v>
      </c>
      <c r="D6" s="6">
        <v>20</v>
      </c>
      <c r="E6" s="6" t="s">
        <v>21</v>
      </c>
      <c r="F6" s="6" t="s">
        <v>22</v>
      </c>
      <c r="G6" s="6"/>
    </row>
    <row r="7" spans="1:7" x14ac:dyDescent="0.3">
      <c r="A7" s="6" t="s">
        <v>7</v>
      </c>
      <c r="B7" s="6" t="s">
        <v>23</v>
      </c>
      <c r="C7" s="6" t="s">
        <v>12</v>
      </c>
      <c r="D7" s="6">
        <v>1200</v>
      </c>
      <c r="E7" s="6" t="s">
        <v>21</v>
      </c>
      <c r="F7" s="6" t="s">
        <v>24</v>
      </c>
      <c r="G7" s="6"/>
    </row>
    <row r="8" spans="1:7" x14ac:dyDescent="0.3">
      <c r="A8" s="6" t="s">
        <v>7</v>
      </c>
      <c r="B8" s="6" t="s">
        <v>25</v>
      </c>
      <c r="C8" s="6" t="s">
        <v>12</v>
      </c>
      <c r="D8" s="6">
        <v>5</v>
      </c>
      <c r="E8" s="6" t="s">
        <v>21</v>
      </c>
      <c r="F8" s="6" t="s">
        <v>26</v>
      </c>
      <c r="G8" s="6"/>
    </row>
    <row r="9" spans="1:7" x14ac:dyDescent="0.3">
      <c r="A9" s="6" t="s">
        <v>7</v>
      </c>
      <c r="B9" s="6" t="s">
        <v>27</v>
      </c>
      <c r="C9" s="6" t="s">
        <v>12</v>
      </c>
      <c r="D9" s="6">
        <v>95</v>
      </c>
      <c r="E9" s="6" t="s">
        <v>21</v>
      </c>
      <c r="F9" s="6" t="s">
        <v>28</v>
      </c>
      <c r="G9" s="6"/>
    </row>
    <row r="10" spans="1:7" x14ac:dyDescent="0.3">
      <c r="A10" s="6" t="s">
        <v>7</v>
      </c>
      <c r="B10" s="6" t="s">
        <v>29</v>
      </c>
      <c r="C10" s="6" t="s">
        <v>12</v>
      </c>
      <c r="D10" s="6">
        <v>2</v>
      </c>
      <c r="E10" s="6" t="s">
        <v>21</v>
      </c>
      <c r="F10" s="6" t="s">
        <v>30</v>
      </c>
      <c r="G10" s="6"/>
    </row>
    <row r="11" spans="1:7" x14ac:dyDescent="0.3">
      <c r="A11" s="6" t="s">
        <v>31</v>
      </c>
      <c r="B11" s="6" t="s">
        <v>8</v>
      </c>
      <c r="C11" s="6" t="s">
        <v>9</v>
      </c>
      <c r="D11" s="7" t="b">
        <f>FALSE()</f>
        <v>0</v>
      </c>
      <c r="E11" s="6"/>
      <c r="F11" s="6" t="s">
        <v>10</v>
      </c>
      <c r="G11" s="6"/>
    </row>
    <row r="12" spans="1:7" x14ac:dyDescent="0.3">
      <c r="A12" s="6" t="s">
        <v>31</v>
      </c>
      <c r="B12" s="6" t="s">
        <v>11</v>
      </c>
      <c r="C12" s="6" t="s">
        <v>12</v>
      </c>
      <c r="D12" s="6">
        <v>5000</v>
      </c>
      <c r="E12" s="6" t="s">
        <v>13</v>
      </c>
      <c r="F12" s="6" t="s">
        <v>14</v>
      </c>
      <c r="G12" s="6"/>
    </row>
    <row r="13" spans="1:7" x14ac:dyDescent="0.3">
      <c r="A13" s="6" t="s">
        <v>31</v>
      </c>
      <c r="B13" s="6" t="s">
        <v>32</v>
      </c>
      <c r="C13" s="6" t="s">
        <v>12</v>
      </c>
      <c r="D13" s="6">
        <v>450</v>
      </c>
      <c r="E13" s="6" t="s">
        <v>13</v>
      </c>
      <c r="F13" s="6" t="s">
        <v>33</v>
      </c>
      <c r="G13" s="6"/>
    </row>
    <row r="14" spans="1:7" x14ac:dyDescent="0.3">
      <c r="A14" s="6" t="s">
        <v>31</v>
      </c>
      <c r="B14" s="6" t="s">
        <v>15</v>
      </c>
      <c r="C14" s="6" t="s">
        <v>12</v>
      </c>
      <c r="D14" s="6">
        <v>30</v>
      </c>
      <c r="E14" s="6" t="s">
        <v>13</v>
      </c>
      <c r="F14" s="6" t="s">
        <v>16</v>
      </c>
      <c r="G14" s="6"/>
    </row>
    <row r="15" spans="1:7" x14ac:dyDescent="0.3">
      <c r="A15" s="6" t="s">
        <v>31</v>
      </c>
      <c r="B15" s="6" t="s">
        <v>17</v>
      </c>
      <c r="C15" s="6" t="s">
        <v>12</v>
      </c>
      <c r="D15" s="6">
        <v>0</v>
      </c>
      <c r="E15" s="6" t="s">
        <v>13</v>
      </c>
      <c r="F15" s="6" t="s">
        <v>18</v>
      </c>
      <c r="G15" s="6"/>
    </row>
    <row r="16" spans="1:7" x14ac:dyDescent="0.3">
      <c r="A16" s="6" t="s">
        <v>31</v>
      </c>
      <c r="B16" s="6" t="s">
        <v>34</v>
      </c>
      <c r="C16" s="6" t="s">
        <v>12</v>
      </c>
      <c r="D16" s="6">
        <v>40</v>
      </c>
      <c r="E16" s="6" t="s">
        <v>35</v>
      </c>
      <c r="F16" s="6" t="s">
        <v>36</v>
      </c>
      <c r="G16" s="6"/>
    </row>
    <row r="17" spans="1:7" x14ac:dyDescent="0.3">
      <c r="A17" s="6" t="s">
        <v>31</v>
      </c>
      <c r="B17" s="6" t="s">
        <v>37</v>
      </c>
      <c r="C17" s="6" t="s">
        <v>12</v>
      </c>
      <c r="D17" s="6">
        <v>30</v>
      </c>
      <c r="E17" s="6" t="s">
        <v>35</v>
      </c>
      <c r="F17" s="6" t="s">
        <v>38</v>
      </c>
      <c r="G17" s="6"/>
    </row>
    <row r="18" spans="1:7" x14ac:dyDescent="0.3">
      <c r="A18" s="6" t="s">
        <v>31</v>
      </c>
      <c r="B18" s="6" t="s">
        <v>39</v>
      </c>
      <c r="C18" s="6" t="s">
        <v>12</v>
      </c>
      <c r="D18" s="6">
        <v>47.91</v>
      </c>
      <c r="E18" s="6" t="s">
        <v>35</v>
      </c>
      <c r="F18" s="6" t="s">
        <v>40</v>
      </c>
      <c r="G18" s="6"/>
    </row>
    <row r="19" spans="1:7" x14ac:dyDescent="0.3">
      <c r="A19" s="6" t="s">
        <v>31</v>
      </c>
      <c r="B19" s="6" t="s">
        <v>41</v>
      </c>
      <c r="C19" s="6" t="s">
        <v>12</v>
      </c>
      <c r="D19" s="6">
        <v>9.9600000000000009</v>
      </c>
      <c r="E19" s="6" t="s">
        <v>35</v>
      </c>
      <c r="F19" s="6" t="s">
        <v>42</v>
      </c>
      <c r="G19" s="6"/>
    </row>
    <row r="20" spans="1:7" x14ac:dyDescent="0.3">
      <c r="A20" s="6" t="s">
        <v>31</v>
      </c>
      <c r="B20" s="6" t="s">
        <v>43</v>
      </c>
      <c r="C20" s="6" t="s">
        <v>12</v>
      </c>
      <c r="D20" s="6">
        <v>50</v>
      </c>
      <c r="E20" s="6" t="s">
        <v>21</v>
      </c>
      <c r="F20" s="6" t="s">
        <v>44</v>
      </c>
      <c r="G20" s="6"/>
    </row>
    <row r="21" spans="1:7" x14ac:dyDescent="0.3">
      <c r="A21" s="6" t="s">
        <v>31</v>
      </c>
      <c r="B21" s="6" t="s">
        <v>19</v>
      </c>
      <c r="C21" s="6" t="s">
        <v>20</v>
      </c>
      <c r="D21" s="6">
        <v>25</v>
      </c>
      <c r="E21" s="6" t="s">
        <v>21</v>
      </c>
      <c r="F21" s="6" t="s">
        <v>22</v>
      </c>
      <c r="G21" s="6"/>
    </row>
    <row r="22" spans="1:7" x14ac:dyDescent="0.3">
      <c r="A22" s="6" t="s">
        <v>31</v>
      </c>
      <c r="B22" s="6" t="s">
        <v>45</v>
      </c>
      <c r="C22" s="6" t="s">
        <v>12</v>
      </c>
      <c r="D22" s="6">
        <v>100</v>
      </c>
      <c r="E22" s="6" t="s">
        <v>21</v>
      </c>
      <c r="F22" s="6" t="s">
        <v>46</v>
      </c>
      <c r="G22" s="6"/>
    </row>
    <row r="23" spans="1:7" x14ac:dyDescent="0.3">
      <c r="A23" s="6" t="s">
        <v>31</v>
      </c>
      <c r="B23" s="6" t="s">
        <v>47</v>
      </c>
      <c r="C23" s="6" t="s">
        <v>12</v>
      </c>
      <c r="D23" s="6">
        <v>500</v>
      </c>
      <c r="E23" s="6" t="s">
        <v>21</v>
      </c>
      <c r="F23" s="6" t="s">
        <v>48</v>
      </c>
      <c r="G23" s="6"/>
    </row>
    <row r="24" spans="1:7" x14ac:dyDescent="0.3">
      <c r="A24" s="6" t="s">
        <v>49</v>
      </c>
      <c r="B24" s="6" t="s">
        <v>8</v>
      </c>
      <c r="C24" s="6" t="s">
        <v>9</v>
      </c>
      <c r="D24" s="7" t="b">
        <f>FALSE()</f>
        <v>0</v>
      </c>
      <c r="E24" s="6"/>
      <c r="F24" s="6" t="s">
        <v>10</v>
      </c>
      <c r="G24" s="6"/>
    </row>
    <row r="25" spans="1:7" x14ac:dyDescent="0.3">
      <c r="A25" s="6" t="s">
        <v>49</v>
      </c>
      <c r="B25" s="6" t="s">
        <v>11</v>
      </c>
      <c r="C25" s="6" t="s">
        <v>12</v>
      </c>
      <c r="D25" s="6">
        <v>1000</v>
      </c>
      <c r="E25" s="6" t="s">
        <v>13</v>
      </c>
      <c r="F25" s="6" t="s">
        <v>14</v>
      </c>
      <c r="G25" s="6"/>
    </row>
    <row r="26" spans="1:7" x14ac:dyDescent="0.3">
      <c r="A26" s="6" t="s">
        <v>49</v>
      </c>
      <c r="B26" s="6" t="s">
        <v>15</v>
      </c>
      <c r="C26" s="6" t="s">
        <v>12</v>
      </c>
      <c r="D26" s="6">
        <v>0</v>
      </c>
      <c r="E26" s="6" t="s">
        <v>13</v>
      </c>
      <c r="F26" s="6" t="s">
        <v>16</v>
      </c>
      <c r="G26" s="6"/>
    </row>
    <row r="27" spans="1:7" x14ac:dyDescent="0.3">
      <c r="A27" s="6" t="s">
        <v>49</v>
      </c>
      <c r="B27" s="6" t="s">
        <v>17</v>
      </c>
      <c r="C27" s="6" t="s">
        <v>12</v>
      </c>
      <c r="D27" s="6">
        <v>0</v>
      </c>
      <c r="E27" s="6" t="s">
        <v>13</v>
      </c>
      <c r="F27" s="6" t="s">
        <v>18</v>
      </c>
      <c r="G27" s="6"/>
    </row>
    <row r="28" spans="1:7" x14ac:dyDescent="0.3">
      <c r="A28" s="6" t="s">
        <v>49</v>
      </c>
      <c r="B28" s="6" t="s">
        <v>19</v>
      </c>
      <c r="C28" s="6" t="s">
        <v>20</v>
      </c>
      <c r="D28" s="6">
        <v>1</v>
      </c>
      <c r="E28" s="6" t="s">
        <v>21</v>
      </c>
      <c r="F28" s="6" t="s">
        <v>22</v>
      </c>
      <c r="G28" s="6"/>
    </row>
    <row r="29" spans="1:7" x14ac:dyDescent="0.3">
      <c r="A29" s="6" t="s">
        <v>49</v>
      </c>
      <c r="B29" s="6" t="s">
        <v>50</v>
      </c>
      <c r="C29" s="6" t="s">
        <v>12</v>
      </c>
      <c r="D29" s="6">
        <v>1500</v>
      </c>
      <c r="E29" s="6" t="s">
        <v>21</v>
      </c>
      <c r="F29" s="6" t="s">
        <v>163</v>
      </c>
      <c r="G29" s="6"/>
    </row>
    <row r="30" spans="1:7" x14ac:dyDescent="0.3">
      <c r="A30" s="6" t="s">
        <v>51</v>
      </c>
      <c r="B30" s="6" t="s">
        <v>8</v>
      </c>
      <c r="C30" s="6" t="s">
        <v>9</v>
      </c>
      <c r="D30" s="7" t="b">
        <f>FALSE()</f>
        <v>0</v>
      </c>
      <c r="E30" s="6"/>
      <c r="F30" s="6" t="s">
        <v>10</v>
      </c>
      <c r="G30" s="6"/>
    </row>
    <row r="31" spans="1:7" x14ac:dyDescent="0.3">
      <c r="A31" s="6" t="s">
        <v>51</v>
      </c>
      <c r="B31" s="6" t="s">
        <v>11</v>
      </c>
      <c r="C31" s="6" t="s">
        <v>12</v>
      </c>
      <c r="D31" s="6">
        <v>7500</v>
      </c>
      <c r="E31" s="6" t="s">
        <v>13</v>
      </c>
      <c r="F31" s="6" t="s">
        <v>14</v>
      </c>
      <c r="G31" s="6"/>
    </row>
    <row r="32" spans="1:7" x14ac:dyDescent="0.3">
      <c r="A32" s="6" t="s">
        <v>51</v>
      </c>
      <c r="B32" s="6" t="s">
        <v>15</v>
      </c>
      <c r="C32" s="6" t="s">
        <v>12</v>
      </c>
      <c r="D32" s="6">
        <v>25</v>
      </c>
      <c r="E32" s="6" t="s">
        <v>13</v>
      </c>
      <c r="F32" s="6" t="s">
        <v>16</v>
      </c>
      <c r="G32" s="6"/>
    </row>
    <row r="33" spans="1:7" x14ac:dyDescent="0.3">
      <c r="A33" s="6" t="s">
        <v>51</v>
      </c>
      <c r="B33" s="6" t="s">
        <v>17</v>
      </c>
      <c r="C33" s="6" t="s">
        <v>12</v>
      </c>
      <c r="D33" s="6">
        <v>100</v>
      </c>
      <c r="E33" s="6" t="s">
        <v>13</v>
      </c>
      <c r="F33" s="6" t="s">
        <v>18</v>
      </c>
      <c r="G33" s="6"/>
    </row>
    <row r="34" spans="1:7" x14ac:dyDescent="0.3">
      <c r="A34" s="6" t="s">
        <v>51</v>
      </c>
      <c r="B34" s="6" t="s">
        <v>19</v>
      </c>
      <c r="C34" s="6" t="s">
        <v>20</v>
      </c>
      <c r="D34" s="6">
        <v>1</v>
      </c>
      <c r="E34" s="6" t="s">
        <v>21</v>
      </c>
      <c r="F34" s="6" t="s">
        <v>22</v>
      </c>
      <c r="G34" s="6"/>
    </row>
    <row r="35" spans="1:7" x14ac:dyDescent="0.3">
      <c r="A35" s="6" t="s">
        <v>51</v>
      </c>
      <c r="B35" s="6" t="s">
        <v>50</v>
      </c>
      <c r="C35" s="6" t="s">
        <v>12</v>
      </c>
      <c r="D35" s="6">
        <v>1500</v>
      </c>
      <c r="E35" s="6" t="s">
        <v>21</v>
      </c>
      <c r="F35" s="6" t="s">
        <v>164</v>
      </c>
      <c r="G35" s="6"/>
    </row>
    <row r="36" spans="1:7" x14ac:dyDescent="0.3">
      <c r="A36" s="6" t="s">
        <v>51</v>
      </c>
      <c r="B36" s="6" t="s">
        <v>52</v>
      </c>
      <c r="C36" s="6" t="s">
        <v>12</v>
      </c>
      <c r="D36" s="6">
        <v>31</v>
      </c>
      <c r="E36" s="6" t="s">
        <v>13</v>
      </c>
      <c r="F36" s="6" t="s">
        <v>165</v>
      </c>
      <c r="G36" s="6"/>
    </row>
    <row r="37" spans="1:7" x14ac:dyDescent="0.3">
      <c r="A37" s="6" t="s">
        <v>51</v>
      </c>
      <c r="B37" s="6" t="s">
        <v>53</v>
      </c>
      <c r="C37" s="6" t="s">
        <v>12</v>
      </c>
      <c r="D37" s="6">
        <v>7.8E-2</v>
      </c>
      <c r="E37" s="6" t="s">
        <v>54</v>
      </c>
      <c r="F37" s="6" t="s">
        <v>166</v>
      </c>
      <c r="G37" s="6"/>
    </row>
    <row r="38" spans="1:7" x14ac:dyDescent="0.3">
      <c r="A38" s="6" t="s">
        <v>55</v>
      </c>
      <c r="B38" s="6" t="s">
        <v>8</v>
      </c>
      <c r="C38" s="6" t="s">
        <v>9</v>
      </c>
      <c r="D38" s="7" t="b">
        <f>FALSE()</f>
        <v>0</v>
      </c>
      <c r="E38" s="6"/>
      <c r="F38" s="6" t="s">
        <v>10</v>
      </c>
      <c r="G38" s="6"/>
    </row>
    <row r="39" spans="1:7" x14ac:dyDescent="0.3">
      <c r="A39" s="6" t="s">
        <v>55</v>
      </c>
      <c r="B39" s="6" t="s">
        <v>11</v>
      </c>
      <c r="C39" s="6" t="s">
        <v>12</v>
      </c>
      <c r="D39" s="6">
        <v>10000</v>
      </c>
      <c r="E39" s="6" t="s">
        <v>13</v>
      </c>
      <c r="F39" s="6" t="s">
        <v>14</v>
      </c>
      <c r="G39" s="6"/>
    </row>
    <row r="40" spans="1:7" x14ac:dyDescent="0.3">
      <c r="A40" s="6" t="s">
        <v>55</v>
      </c>
      <c r="B40" s="6" t="s">
        <v>15</v>
      </c>
      <c r="C40" s="6" t="s">
        <v>12</v>
      </c>
      <c r="D40" s="6">
        <v>0</v>
      </c>
      <c r="E40" s="6" t="s">
        <v>13</v>
      </c>
      <c r="F40" s="6" t="s">
        <v>16</v>
      </c>
      <c r="G40" s="6"/>
    </row>
    <row r="41" spans="1:7" x14ac:dyDescent="0.3">
      <c r="A41" s="6" t="s">
        <v>55</v>
      </c>
      <c r="B41" s="6" t="s">
        <v>17</v>
      </c>
      <c r="C41" s="6" t="s">
        <v>12</v>
      </c>
      <c r="D41" s="6">
        <v>150</v>
      </c>
      <c r="E41" s="6" t="s">
        <v>13</v>
      </c>
      <c r="F41" s="6" t="s">
        <v>18</v>
      </c>
      <c r="G41" s="6"/>
    </row>
    <row r="42" spans="1:7" x14ac:dyDescent="0.3">
      <c r="A42" s="6" t="s">
        <v>55</v>
      </c>
      <c r="B42" s="6" t="s">
        <v>19</v>
      </c>
      <c r="C42" s="6" t="s">
        <v>20</v>
      </c>
      <c r="D42" s="6">
        <v>1</v>
      </c>
      <c r="E42" s="6" t="s">
        <v>21</v>
      </c>
      <c r="F42" s="6" t="s">
        <v>22</v>
      </c>
      <c r="G42" s="6"/>
    </row>
    <row r="43" spans="1:7" x14ac:dyDescent="0.3">
      <c r="A43" s="6" t="s">
        <v>55</v>
      </c>
      <c r="B43" s="6" t="s">
        <v>50</v>
      </c>
      <c r="C43" s="6" t="s">
        <v>12</v>
      </c>
      <c r="D43" s="8">
        <v>-1</v>
      </c>
      <c r="E43" s="6" t="s">
        <v>21</v>
      </c>
      <c r="F43" s="6" t="s">
        <v>163</v>
      </c>
      <c r="G43" s="6"/>
    </row>
    <row r="44" spans="1:7" x14ac:dyDescent="0.3">
      <c r="A44" s="6" t="s">
        <v>56</v>
      </c>
      <c r="B44" s="6" t="s">
        <v>57</v>
      </c>
      <c r="C44" s="6" t="s">
        <v>58</v>
      </c>
      <c r="D44" s="6" t="s">
        <v>59</v>
      </c>
      <c r="E44" s="6" t="s">
        <v>60</v>
      </c>
      <c r="F44" s="6" t="s">
        <v>61</v>
      </c>
      <c r="G44" s="6"/>
    </row>
    <row r="45" spans="1:7" x14ac:dyDescent="0.3">
      <c r="A45" s="6" t="s">
        <v>56</v>
      </c>
      <c r="B45" s="6" t="s">
        <v>62</v>
      </c>
      <c r="C45" s="6" t="s">
        <v>12</v>
      </c>
      <c r="D45" s="6">
        <v>0.2</v>
      </c>
      <c r="E45" s="6" t="s">
        <v>63</v>
      </c>
      <c r="F45" s="6" t="s">
        <v>64</v>
      </c>
      <c r="G45" s="6"/>
    </row>
    <row r="46" spans="1:7" x14ac:dyDescent="0.3">
      <c r="A46" s="6" t="s">
        <v>56</v>
      </c>
      <c r="B46" s="6" t="s">
        <v>65</v>
      </c>
      <c r="C46" s="6" t="s">
        <v>66</v>
      </c>
      <c r="D46" s="6" t="s">
        <v>67</v>
      </c>
      <c r="E46" s="6" t="s">
        <v>35</v>
      </c>
      <c r="F46" s="6" t="s">
        <v>68</v>
      </c>
      <c r="G46" s="6"/>
    </row>
    <row r="47" spans="1:7" x14ac:dyDescent="0.3">
      <c r="A47" s="6" t="s">
        <v>56</v>
      </c>
      <c r="B47" s="6" t="s">
        <v>69</v>
      </c>
      <c r="C47" s="6" t="s">
        <v>70</v>
      </c>
      <c r="D47" s="6" t="s">
        <v>71</v>
      </c>
      <c r="E47" s="6" t="s">
        <v>35</v>
      </c>
      <c r="F47" s="6" t="s">
        <v>72</v>
      </c>
      <c r="G47" s="6"/>
    </row>
    <row r="48" spans="1:7" x14ac:dyDescent="0.3">
      <c r="A48" s="6" t="s">
        <v>56</v>
      </c>
      <c r="B48" s="6" t="s">
        <v>73</v>
      </c>
      <c r="C48" s="6" t="s">
        <v>9</v>
      </c>
      <c r="D48" s="9" t="b">
        <v>1</v>
      </c>
      <c r="E48" s="6" t="s">
        <v>35</v>
      </c>
      <c r="F48" s="6" t="s">
        <v>74</v>
      </c>
      <c r="G48" s="6"/>
    </row>
    <row r="49" spans="1:7" x14ac:dyDescent="0.3">
      <c r="A49" s="6" t="s">
        <v>56</v>
      </c>
      <c r="B49" s="6" t="s">
        <v>75</v>
      </c>
      <c r="C49" s="6" t="s">
        <v>76</v>
      </c>
      <c r="D49" s="6" t="s">
        <v>77</v>
      </c>
      <c r="E49" s="6" t="s">
        <v>35</v>
      </c>
      <c r="F49" s="6" t="s">
        <v>78</v>
      </c>
      <c r="G49" s="6"/>
    </row>
    <row r="50" spans="1:7" x14ac:dyDescent="0.3">
      <c r="A50" s="6" t="s">
        <v>56</v>
      </c>
      <c r="B50" s="6" t="s">
        <v>79</v>
      </c>
      <c r="C50" s="6" t="s">
        <v>80</v>
      </c>
      <c r="D50" s="6" t="s">
        <v>77</v>
      </c>
      <c r="E50" s="6" t="s">
        <v>35</v>
      </c>
      <c r="F50" s="6" t="s">
        <v>81</v>
      </c>
      <c r="G50" s="6"/>
    </row>
    <row r="51" spans="1:7" x14ac:dyDescent="0.3">
      <c r="A51" s="6" t="s">
        <v>56</v>
      </c>
      <c r="B51" s="6" t="s">
        <v>82</v>
      </c>
      <c r="C51" s="6" t="s">
        <v>12</v>
      </c>
      <c r="D51" s="6">
        <v>130</v>
      </c>
      <c r="E51" s="6" t="s">
        <v>35</v>
      </c>
      <c r="F51" s="6" t="s">
        <v>83</v>
      </c>
      <c r="G51" s="6"/>
    </row>
    <row r="52" spans="1:7" x14ac:dyDescent="0.3">
      <c r="A52" s="6" t="s">
        <v>56</v>
      </c>
      <c r="B52" s="6" t="s">
        <v>84</v>
      </c>
      <c r="C52" s="6" t="s">
        <v>12</v>
      </c>
      <c r="D52" s="6">
        <v>2</v>
      </c>
      <c r="E52" s="6" t="s">
        <v>35</v>
      </c>
      <c r="F52" s="6" t="s">
        <v>85</v>
      </c>
      <c r="G52" s="6"/>
    </row>
    <row r="53" spans="1:7" x14ac:dyDescent="0.3">
      <c r="A53" s="6" t="s">
        <v>56</v>
      </c>
      <c r="B53" s="6" t="s">
        <v>86</v>
      </c>
      <c r="C53" s="6" t="s">
        <v>12</v>
      </c>
      <c r="D53" s="6">
        <v>2.5</v>
      </c>
      <c r="E53" s="6" t="s">
        <v>35</v>
      </c>
      <c r="F53" s="6" t="s">
        <v>87</v>
      </c>
      <c r="G53" s="6"/>
    </row>
    <row r="54" spans="1:7" x14ac:dyDescent="0.3">
      <c r="A54" s="6" t="s">
        <v>56</v>
      </c>
      <c r="B54" s="6" t="s">
        <v>88</v>
      </c>
      <c r="C54" s="6" t="s">
        <v>12</v>
      </c>
      <c r="D54" s="6">
        <v>0.2</v>
      </c>
      <c r="E54" s="6" t="s">
        <v>35</v>
      </c>
      <c r="F54" s="6" t="s">
        <v>89</v>
      </c>
      <c r="G54" s="6"/>
    </row>
    <row r="55" spans="1:7" x14ac:dyDescent="0.3">
      <c r="A55" s="6" t="s">
        <v>56</v>
      </c>
      <c r="B55" s="6" t="s">
        <v>90</v>
      </c>
      <c r="C55" s="6" t="s">
        <v>12</v>
      </c>
      <c r="D55" s="6">
        <v>1.33</v>
      </c>
      <c r="E55" s="6" t="s">
        <v>35</v>
      </c>
      <c r="F55" s="6" t="s">
        <v>91</v>
      </c>
      <c r="G55" s="6"/>
    </row>
    <row r="56" spans="1:7" x14ac:dyDescent="0.3">
      <c r="A56" s="6" t="s">
        <v>56</v>
      </c>
      <c r="B56" s="6" t="s">
        <v>92</v>
      </c>
      <c r="C56" s="6" t="s">
        <v>12</v>
      </c>
      <c r="D56" s="6">
        <v>253</v>
      </c>
      <c r="E56" s="6" t="s">
        <v>21</v>
      </c>
      <c r="F56" s="6" t="s">
        <v>93</v>
      </c>
      <c r="G56" s="6"/>
    </row>
    <row r="57" spans="1:7" x14ac:dyDescent="0.3">
      <c r="A57" s="6" t="s">
        <v>56</v>
      </c>
      <c r="B57" s="6" t="s">
        <v>94</v>
      </c>
      <c r="C57" s="6" t="s">
        <v>12</v>
      </c>
      <c r="D57" s="6">
        <v>1000</v>
      </c>
      <c r="E57" s="6" t="s">
        <v>21</v>
      </c>
      <c r="F57" s="6" t="s">
        <v>95</v>
      </c>
      <c r="G57" s="6"/>
    </row>
    <row r="58" spans="1:7" x14ac:dyDescent="0.3">
      <c r="A58" s="6" t="s">
        <v>56</v>
      </c>
      <c r="B58" s="6" t="s">
        <v>96</v>
      </c>
      <c r="C58" s="6" t="s">
        <v>12</v>
      </c>
      <c r="D58" s="6">
        <v>55</v>
      </c>
      <c r="E58" s="6" t="s">
        <v>97</v>
      </c>
      <c r="F58" s="6" t="s">
        <v>98</v>
      </c>
      <c r="G58" s="6"/>
    </row>
    <row r="59" spans="1:7" x14ac:dyDescent="0.3">
      <c r="A59" s="6" t="s">
        <v>56</v>
      </c>
      <c r="B59" s="6" t="s">
        <v>99</v>
      </c>
      <c r="C59" s="6" t="s">
        <v>12</v>
      </c>
      <c r="D59" s="6">
        <v>5</v>
      </c>
      <c r="E59" s="6" t="s">
        <v>97</v>
      </c>
      <c r="F59" s="6" t="s">
        <v>100</v>
      </c>
      <c r="G59" s="6"/>
    </row>
    <row r="60" spans="1:7" x14ac:dyDescent="0.3">
      <c r="A60" s="6" t="s">
        <v>56</v>
      </c>
      <c r="B60" s="6" t="s">
        <v>101</v>
      </c>
      <c r="C60" s="6" t="s">
        <v>102</v>
      </c>
      <c r="D60" s="6" t="s">
        <v>103</v>
      </c>
      <c r="E60" s="6" t="s">
        <v>97</v>
      </c>
      <c r="F60" s="6" t="s">
        <v>104</v>
      </c>
      <c r="G60" s="6"/>
    </row>
    <row r="61" spans="1:7" x14ac:dyDescent="0.3">
      <c r="A61" s="6" t="s">
        <v>56</v>
      </c>
      <c r="B61" s="6" t="s">
        <v>105</v>
      </c>
      <c r="C61" s="6" t="s">
        <v>12</v>
      </c>
      <c r="D61" s="6">
        <v>4</v>
      </c>
      <c r="E61" s="6" t="s">
        <v>13</v>
      </c>
      <c r="F61" s="6" t="s">
        <v>106</v>
      </c>
      <c r="G61" s="6"/>
    </row>
    <row r="62" spans="1:7" x14ac:dyDescent="0.3">
      <c r="A62" s="6" t="s">
        <v>56</v>
      </c>
      <c r="B62" s="6" t="s">
        <v>107</v>
      </c>
      <c r="C62" s="6" t="s">
        <v>12</v>
      </c>
      <c r="D62" s="6">
        <v>0.6</v>
      </c>
      <c r="E62" s="6" t="s">
        <v>35</v>
      </c>
      <c r="F62" s="6" t="s">
        <v>108</v>
      </c>
      <c r="G62" s="6"/>
    </row>
    <row r="63" spans="1:7" x14ac:dyDescent="0.3">
      <c r="A63" s="6" t="s">
        <v>56</v>
      </c>
      <c r="B63" s="6" t="s">
        <v>109</v>
      </c>
      <c r="C63" s="6" t="s">
        <v>12</v>
      </c>
      <c r="D63" s="6">
        <v>1</v>
      </c>
      <c r="E63" s="6" t="s">
        <v>35</v>
      </c>
      <c r="F63" s="6" t="s">
        <v>110</v>
      </c>
      <c r="G63" s="6"/>
    </row>
    <row r="64" spans="1:7" x14ac:dyDescent="0.3">
      <c r="A64" s="6" t="s">
        <v>56</v>
      </c>
      <c r="B64" s="6" t="s">
        <v>111</v>
      </c>
      <c r="C64" s="6" t="s">
        <v>12</v>
      </c>
      <c r="D64" s="6">
        <v>0.8</v>
      </c>
      <c r="E64" s="6" t="s">
        <v>35</v>
      </c>
      <c r="F64" s="6" t="s">
        <v>112</v>
      </c>
      <c r="G64" s="6"/>
    </row>
    <row r="65" spans="1:7" x14ac:dyDescent="0.3">
      <c r="A65" s="6" t="s">
        <v>56</v>
      </c>
      <c r="B65" s="6" t="s">
        <v>113</v>
      </c>
      <c r="C65" s="6" t="s">
        <v>12</v>
      </c>
      <c r="D65" s="6">
        <v>1</v>
      </c>
      <c r="E65" s="6" t="s">
        <v>35</v>
      </c>
      <c r="F65" s="6" t="s">
        <v>114</v>
      </c>
      <c r="G65" s="6"/>
    </row>
    <row r="66" spans="1:7" x14ac:dyDescent="0.3">
      <c r="A66" s="6" t="s">
        <v>56</v>
      </c>
      <c r="B66" s="6" t="s">
        <v>115</v>
      </c>
      <c r="C66" s="6" t="s">
        <v>12</v>
      </c>
      <c r="D66" s="6">
        <v>0.6</v>
      </c>
      <c r="E66" s="6" t="s">
        <v>35</v>
      </c>
      <c r="F66" s="6" t="s">
        <v>116</v>
      </c>
      <c r="G66" s="6"/>
    </row>
    <row r="67" spans="1:7" x14ac:dyDescent="0.3">
      <c r="A67" s="6" t="s">
        <v>56</v>
      </c>
      <c r="B67" s="6" t="s">
        <v>117</v>
      </c>
      <c r="C67" s="6" t="s">
        <v>12</v>
      </c>
      <c r="D67" s="6">
        <v>1</v>
      </c>
      <c r="E67" s="6" t="s">
        <v>35</v>
      </c>
      <c r="F67" s="6" t="s">
        <v>118</v>
      </c>
      <c r="G67" s="6"/>
    </row>
    <row r="68" spans="1:7" x14ac:dyDescent="0.3">
      <c r="A68" s="6" t="s">
        <v>56</v>
      </c>
      <c r="B68" s="6" t="s">
        <v>119</v>
      </c>
      <c r="C68" s="6" t="s">
        <v>12</v>
      </c>
      <c r="D68" s="6">
        <v>25</v>
      </c>
      <c r="E68" s="6" t="s">
        <v>35</v>
      </c>
      <c r="F68" s="6" t="s">
        <v>120</v>
      </c>
      <c r="G68" s="6"/>
    </row>
    <row r="69" spans="1:7" x14ac:dyDescent="0.3">
      <c r="A69" s="6" t="s">
        <v>56</v>
      </c>
      <c r="B69" s="6" t="s">
        <v>121</v>
      </c>
      <c r="C69" s="6" t="s">
        <v>12</v>
      </c>
      <c r="D69" s="6">
        <v>25</v>
      </c>
      <c r="E69" s="6" t="s">
        <v>35</v>
      </c>
      <c r="F69" s="6" t="s">
        <v>122</v>
      </c>
      <c r="G69" s="6"/>
    </row>
    <row r="70" spans="1:7" x14ac:dyDescent="0.3">
      <c r="A70" s="6" t="s">
        <v>56</v>
      </c>
      <c r="B70" s="6" t="s">
        <v>123</v>
      </c>
      <c r="C70" s="6" t="s">
        <v>12</v>
      </c>
      <c r="D70" s="6">
        <v>25</v>
      </c>
      <c r="E70" s="6" t="s">
        <v>35</v>
      </c>
      <c r="F70" s="6" t="s">
        <v>124</v>
      </c>
      <c r="G70" s="6"/>
    </row>
    <row r="71" spans="1:7" x14ac:dyDescent="0.3">
      <c r="A71" s="6" t="s">
        <v>56</v>
      </c>
      <c r="B71" s="6" t="s">
        <v>125</v>
      </c>
      <c r="C71" s="6" t="s">
        <v>161</v>
      </c>
      <c r="D71" s="6" t="s">
        <v>126</v>
      </c>
      <c r="E71" s="6" t="s">
        <v>35</v>
      </c>
      <c r="F71" s="6" t="s">
        <v>127</v>
      </c>
      <c r="G71" s="6"/>
    </row>
    <row r="72" spans="1:7" x14ac:dyDescent="0.3">
      <c r="A72" s="6" t="s">
        <v>56</v>
      </c>
      <c r="B72" s="6" t="s">
        <v>128</v>
      </c>
      <c r="C72" s="6" t="s">
        <v>129</v>
      </c>
      <c r="D72" s="6" t="s">
        <v>130</v>
      </c>
      <c r="E72" s="6" t="s">
        <v>35</v>
      </c>
      <c r="F72" s="6" t="s">
        <v>131</v>
      </c>
      <c r="G72" s="6"/>
    </row>
    <row r="73" spans="1:7" x14ac:dyDescent="0.3">
      <c r="A73" s="6" t="s">
        <v>56</v>
      </c>
      <c r="B73" s="6" t="s">
        <v>132</v>
      </c>
      <c r="C73" s="6" t="s">
        <v>129</v>
      </c>
      <c r="D73" s="6" t="s">
        <v>130</v>
      </c>
      <c r="E73" s="6" t="s">
        <v>35</v>
      </c>
      <c r="F73" s="6" t="s">
        <v>133</v>
      </c>
      <c r="G73" s="6"/>
    </row>
    <row r="74" spans="1:7" x14ac:dyDescent="0.3">
      <c r="A74" s="6" t="s">
        <v>56</v>
      </c>
      <c r="B74" s="6" t="s">
        <v>134</v>
      </c>
      <c r="C74" s="6" t="s">
        <v>129</v>
      </c>
      <c r="D74" s="6" t="s">
        <v>130</v>
      </c>
      <c r="E74" s="6" t="s">
        <v>35</v>
      </c>
      <c r="F74" s="6" t="s">
        <v>135</v>
      </c>
      <c r="G74" s="6"/>
    </row>
    <row r="75" spans="1:7" x14ac:dyDescent="0.3">
      <c r="A75" s="6" t="s">
        <v>56</v>
      </c>
      <c r="B75" s="6" t="s">
        <v>136</v>
      </c>
      <c r="C75" s="6" t="s">
        <v>129</v>
      </c>
      <c r="D75" s="6" t="s">
        <v>130</v>
      </c>
      <c r="E75" s="6" t="s">
        <v>35</v>
      </c>
      <c r="F75" s="6" t="s">
        <v>137</v>
      </c>
      <c r="G75" s="6"/>
    </row>
    <row r="76" spans="1:7" x14ac:dyDescent="0.3">
      <c r="A76" s="6" t="s">
        <v>56</v>
      </c>
      <c r="B76" s="6" t="s">
        <v>138</v>
      </c>
      <c r="C76" s="6" t="s">
        <v>139</v>
      </c>
      <c r="D76" s="6" t="s">
        <v>162</v>
      </c>
      <c r="E76" s="6" t="s">
        <v>35</v>
      </c>
      <c r="F76" s="6" t="s">
        <v>140</v>
      </c>
      <c r="G76" s="6"/>
    </row>
    <row r="77" spans="1:7" x14ac:dyDescent="0.3">
      <c r="A77" s="6" t="s">
        <v>142</v>
      </c>
      <c r="B77" s="6" t="s">
        <v>143</v>
      </c>
      <c r="C77" s="6" t="s">
        <v>12</v>
      </c>
      <c r="D77" s="6">
        <v>-1</v>
      </c>
      <c r="E77" s="6" t="s">
        <v>21</v>
      </c>
      <c r="F77" s="6" t="s">
        <v>144</v>
      </c>
      <c r="G77" s="6"/>
    </row>
    <row r="78" spans="1:7" x14ac:dyDescent="0.3">
      <c r="A78" s="6" t="s">
        <v>142</v>
      </c>
      <c r="B78" s="6" t="s">
        <v>145</v>
      </c>
      <c r="C78" s="6" t="s">
        <v>12</v>
      </c>
      <c r="D78" s="6">
        <v>1</v>
      </c>
      <c r="E78" s="6" t="s">
        <v>21</v>
      </c>
      <c r="F78" s="6" t="s">
        <v>146</v>
      </c>
      <c r="G78" s="6"/>
    </row>
    <row r="79" spans="1:7" x14ac:dyDescent="0.3">
      <c r="A79" s="6" t="s">
        <v>142</v>
      </c>
      <c r="B79" s="6" t="s">
        <v>8</v>
      </c>
      <c r="C79" s="6" t="s">
        <v>9</v>
      </c>
      <c r="D79" s="7" t="b">
        <f>FALSE()</f>
        <v>0</v>
      </c>
      <c r="E79" s="6"/>
      <c r="F79" s="6" t="s">
        <v>10</v>
      </c>
      <c r="G79" s="6"/>
    </row>
    <row r="80" spans="1:7" x14ac:dyDescent="0.3">
      <c r="A80" s="6" t="s">
        <v>142</v>
      </c>
      <c r="B80" s="6" t="s">
        <v>19</v>
      </c>
      <c r="C80" s="6" t="s">
        <v>20</v>
      </c>
      <c r="D80" s="6">
        <v>0</v>
      </c>
      <c r="E80" s="6" t="s">
        <v>21</v>
      </c>
      <c r="F80" s="6" t="s">
        <v>22</v>
      </c>
      <c r="G80" s="6"/>
    </row>
    <row r="81" spans="1:7" x14ac:dyDescent="0.3">
      <c r="A81" s="6" t="s">
        <v>142</v>
      </c>
      <c r="B81" s="6" t="s">
        <v>145</v>
      </c>
      <c r="C81" s="6" t="s">
        <v>12</v>
      </c>
      <c r="D81" s="6">
        <v>1</v>
      </c>
      <c r="E81" s="6" t="s">
        <v>21</v>
      </c>
      <c r="F81" s="6" t="s">
        <v>146</v>
      </c>
      <c r="G81" s="6"/>
    </row>
    <row r="82" spans="1:7" x14ac:dyDescent="0.3">
      <c r="A82" s="6" t="s">
        <v>147</v>
      </c>
      <c r="B82" s="6" t="s">
        <v>8</v>
      </c>
      <c r="C82" s="6" t="s">
        <v>9</v>
      </c>
      <c r="D82" s="7" t="b">
        <v>1</v>
      </c>
      <c r="E82" s="6"/>
      <c r="F82" s="6" t="s">
        <v>10</v>
      </c>
      <c r="G82" s="6"/>
    </row>
    <row r="83" spans="1:7" x14ac:dyDescent="0.3">
      <c r="A83" s="6" t="s">
        <v>147</v>
      </c>
      <c r="B83" s="6" t="s">
        <v>19</v>
      </c>
      <c r="C83" s="6" t="s">
        <v>20</v>
      </c>
      <c r="D83" s="6">
        <v>1</v>
      </c>
      <c r="E83" s="6" t="s">
        <v>21</v>
      </c>
      <c r="F83" s="6" t="s">
        <v>22</v>
      </c>
      <c r="G83" s="6"/>
    </row>
    <row r="84" spans="1:7" x14ac:dyDescent="0.3">
      <c r="A84" s="6" t="s">
        <v>147</v>
      </c>
      <c r="B84" s="6" t="s">
        <v>145</v>
      </c>
      <c r="C84" s="6" t="s">
        <v>12</v>
      </c>
      <c r="D84" s="6">
        <v>0.92</v>
      </c>
      <c r="E84" s="6" t="s">
        <v>21</v>
      </c>
      <c r="F84" s="6" t="s">
        <v>146</v>
      </c>
      <c r="G84" s="6"/>
    </row>
    <row r="85" spans="1:7" x14ac:dyDescent="0.3">
      <c r="A85" s="6" t="s">
        <v>148</v>
      </c>
      <c r="B85" s="6" t="s">
        <v>167</v>
      </c>
      <c r="C85" s="6" t="s">
        <v>149</v>
      </c>
      <c r="D85" s="6" t="s">
        <v>169</v>
      </c>
      <c r="E85" s="6" t="s">
        <v>21</v>
      </c>
      <c r="F85" s="6" t="s">
        <v>150</v>
      </c>
      <c r="G85" s="6"/>
    </row>
    <row r="86" spans="1:7" x14ac:dyDescent="0.3">
      <c r="A86" s="6" t="s">
        <v>148</v>
      </c>
      <c r="B86" s="6" t="s">
        <v>8</v>
      </c>
      <c r="C86" s="6" t="s">
        <v>9</v>
      </c>
      <c r="D86" s="7" t="b">
        <f>FALSE()</f>
        <v>0</v>
      </c>
      <c r="E86" s="6"/>
      <c r="F86" s="6" t="s">
        <v>10</v>
      </c>
      <c r="G86" s="6"/>
    </row>
    <row r="87" spans="1:7" x14ac:dyDescent="0.3">
      <c r="A87" s="6" t="s">
        <v>148</v>
      </c>
      <c r="B87" s="6" t="s">
        <v>19</v>
      </c>
      <c r="C87" s="6" t="s">
        <v>20</v>
      </c>
      <c r="D87" s="6">
        <v>12</v>
      </c>
      <c r="E87" s="6" t="s">
        <v>21</v>
      </c>
      <c r="F87" s="6" t="s">
        <v>22</v>
      </c>
      <c r="G87" s="6"/>
    </row>
    <row r="88" spans="1:7" x14ac:dyDescent="0.3">
      <c r="A88" s="6" t="s">
        <v>148</v>
      </c>
      <c r="B88" s="6" t="s">
        <v>171</v>
      </c>
      <c r="C88" s="6" t="s">
        <v>12</v>
      </c>
      <c r="D88" s="6">
        <v>35000</v>
      </c>
      <c r="E88" s="6" t="s">
        <v>13</v>
      </c>
      <c r="F88" s="6" t="s">
        <v>172</v>
      </c>
      <c r="G88" s="6"/>
    </row>
    <row r="89" spans="1:7" x14ac:dyDescent="0.3">
      <c r="A89" s="6" t="s">
        <v>148</v>
      </c>
      <c r="B89" s="6" t="s">
        <v>173</v>
      </c>
      <c r="C89" s="6" t="s">
        <v>12</v>
      </c>
      <c r="D89" s="6">
        <v>51000</v>
      </c>
      <c r="E89" s="6" t="s">
        <v>13</v>
      </c>
      <c r="F89" s="6" t="s">
        <v>175</v>
      </c>
      <c r="G89" s="6"/>
    </row>
    <row r="90" spans="1:7" x14ac:dyDescent="0.3">
      <c r="A90" s="6" t="s">
        <v>148</v>
      </c>
      <c r="B90" s="6" t="s">
        <v>174</v>
      </c>
      <c r="C90" s="6" t="s">
        <v>12</v>
      </c>
      <c r="D90" s="6">
        <v>40000</v>
      </c>
      <c r="E90" s="6" t="s">
        <v>13</v>
      </c>
      <c r="F90" s="6" t="s">
        <v>176</v>
      </c>
      <c r="G90" s="6"/>
    </row>
    <row r="91" spans="1:7" ht="290.39999999999998" customHeight="1" x14ac:dyDescent="0.3">
      <c r="A91" s="6" t="s">
        <v>148</v>
      </c>
      <c r="B91" s="6" t="s">
        <v>15</v>
      </c>
      <c r="C91" s="6" t="s">
        <v>12</v>
      </c>
      <c r="D91" s="6">
        <v>55</v>
      </c>
      <c r="E91" s="6" t="s">
        <v>13</v>
      </c>
      <c r="F91" s="6" t="s">
        <v>16</v>
      </c>
      <c r="G91" s="3" t="s">
        <v>183</v>
      </c>
    </row>
    <row r="92" spans="1:7" ht="43.2" x14ac:dyDescent="0.3">
      <c r="A92" s="6" t="s">
        <v>148</v>
      </c>
      <c r="B92" s="6" t="s">
        <v>17</v>
      </c>
      <c r="C92" s="6" t="s">
        <v>12</v>
      </c>
      <c r="D92" s="6">
        <v>100</v>
      </c>
      <c r="E92" s="6" t="s">
        <v>13</v>
      </c>
      <c r="F92" s="6" t="s">
        <v>18</v>
      </c>
      <c r="G92" s="4" t="s">
        <v>184</v>
      </c>
    </row>
    <row r="93" spans="1:7" x14ac:dyDescent="0.3">
      <c r="A93" s="6" t="s">
        <v>148</v>
      </c>
      <c r="B93" s="6" t="s">
        <v>141</v>
      </c>
      <c r="C93" s="6" t="s">
        <v>12</v>
      </c>
      <c r="D93" s="6">
        <v>-1</v>
      </c>
      <c r="E93" s="6" t="s">
        <v>21</v>
      </c>
      <c r="F93" s="6" t="s">
        <v>144</v>
      </c>
      <c r="G93" s="6"/>
    </row>
    <row r="94" spans="1:7" x14ac:dyDescent="0.3">
      <c r="A94" s="6" t="s">
        <v>148</v>
      </c>
      <c r="B94" s="6" t="s">
        <v>151</v>
      </c>
      <c r="C94" s="6" t="s">
        <v>9</v>
      </c>
      <c r="D94" s="7" t="b">
        <f>FALSE()</f>
        <v>0</v>
      </c>
      <c r="E94" s="6" t="s">
        <v>21</v>
      </c>
      <c r="F94" s="6" t="s">
        <v>152</v>
      </c>
      <c r="G94" s="6"/>
    </row>
    <row r="95" spans="1:7" x14ac:dyDescent="0.3">
      <c r="A95" s="6" t="s">
        <v>153</v>
      </c>
      <c r="B95" s="6" t="s">
        <v>8</v>
      </c>
      <c r="C95" s="6" t="s">
        <v>9</v>
      </c>
      <c r="D95" s="7" t="b">
        <f>FALSE()</f>
        <v>0</v>
      </c>
      <c r="E95" s="6"/>
      <c r="F95" s="6" t="s">
        <v>10</v>
      </c>
      <c r="G95" s="6"/>
    </row>
    <row r="96" spans="1:7" x14ac:dyDescent="0.3">
      <c r="A96" s="6" t="s">
        <v>153</v>
      </c>
      <c r="B96" s="6" t="s">
        <v>19</v>
      </c>
      <c r="C96" s="6" t="s">
        <v>20</v>
      </c>
      <c r="D96" s="6">
        <v>20</v>
      </c>
      <c r="E96" s="6" t="s">
        <v>21</v>
      </c>
      <c r="F96" s="6" t="s">
        <v>22</v>
      </c>
      <c r="G96" s="6"/>
    </row>
    <row r="97" spans="1:7" x14ac:dyDescent="0.3">
      <c r="A97" s="6" t="s">
        <v>153</v>
      </c>
      <c r="B97" s="6" t="s">
        <v>23</v>
      </c>
      <c r="C97" s="6" t="s">
        <v>12</v>
      </c>
      <c r="D97" s="6">
        <v>1200</v>
      </c>
      <c r="E97" s="6" t="s">
        <v>21</v>
      </c>
      <c r="F97" s="6" t="s">
        <v>24</v>
      </c>
      <c r="G97" s="6"/>
    </row>
    <row r="98" spans="1:7" x14ac:dyDescent="0.3">
      <c r="A98" s="6" t="s">
        <v>153</v>
      </c>
      <c r="B98" s="6" t="s">
        <v>25</v>
      </c>
      <c r="C98" s="6" t="s">
        <v>12</v>
      </c>
      <c r="D98" s="6">
        <v>5</v>
      </c>
      <c r="E98" s="6" t="s">
        <v>21</v>
      </c>
      <c r="F98" s="6" t="s">
        <v>26</v>
      </c>
      <c r="G98" s="6"/>
    </row>
    <row r="99" spans="1:7" x14ac:dyDescent="0.3">
      <c r="A99" s="6" t="s">
        <v>153</v>
      </c>
      <c r="B99" s="6" t="s">
        <v>27</v>
      </c>
      <c r="C99" s="6" t="s">
        <v>12</v>
      </c>
      <c r="D99" s="6">
        <v>95</v>
      </c>
      <c r="E99" s="6" t="s">
        <v>21</v>
      </c>
      <c r="F99" s="6" t="s">
        <v>28</v>
      </c>
      <c r="G99" s="6"/>
    </row>
    <row r="100" spans="1:7" x14ac:dyDescent="0.3">
      <c r="A100" s="6" t="s">
        <v>153</v>
      </c>
      <c r="B100" s="6" t="s">
        <v>29</v>
      </c>
      <c r="C100" s="6" t="s">
        <v>12</v>
      </c>
      <c r="D100" s="6">
        <v>2</v>
      </c>
      <c r="E100" s="6" t="s">
        <v>21</v>
      </c>
      <c r="F100" s="6" t="s">
        <v>30</v>
      </c>
      <c r="G100" s="6"/>
    </row>
    <row r="101" spans="1:7" x14ac:dyDescent="0.3">
      <c r="A101" s="6" t="s">
        <v>153</v>
      </c>
      <c r="B101" s="6" t="s">
        <v>11</v>
      </c>
      <c r="C101" s="6" t="s">
        <v>12</v>
      </c>
      <c r="D101" s="6">
        <v>1500</v>
      </c>
      <c r="E101" s="6" t="s">
        <v>13</v>
      </c>
      <c r="F101" s="6" t="s">
        <v>14</v>
      </c>
      <c r="G101" s="6"/>
    </row>
    <row r="102" spans="1:7" x14ac:dyDescent="0.3">
      <c r="A102" s="6" t="s">
        <v>153</v>
      </c>
      <c r="B102" s="6" t="s">
        <v>17</v>
      </c>
      <c r="C102" s="6" t="s">
        <v>12</v>
      </c>
      <c r="D102" s="6">
        <v>0</v>
      </c>
      <c r="E102" s="6" t="s">
        <v>13</v>
      </c>
      <c r="F102" s="6" t="s">
        <v>18</v>
      </c>
      <c r="G102" s="6"/>
    </row>
    <row r="103" spans="1:7" x14ac:dyDescent="0.3">
      <c r="A103" s="6" t="s">
        <v>153</v>
      </c>
      <c r="B103" s="6" t="s">
        <v>15</v>
      </c>
      <c r="C103" s="6" t="s">
        <v>12</v>
      </c>
      <c r="D103" s="6">
        <v>30</v>
      </c>
      <c r="E103" s="6" t="s">
        <v>13</v>
      </c>
      <c r="F103" s="6" t="s">
        <v>16</v>
      </c>
      <c r="G103" s="6"/>
    </row>
    <row r="104" spans="1:7" x14ac:dyDescent="0.3">
      <c r="A104" s="6" t="s">
        <v>31</v>
      </c>
      <c r="B104" s="6" t="s">
        <v>8</v>
      </c>
      <c r="C104" s="6" t="s">
        <v>9</v>
      </c>
      <c r="D104" s="6" t="b">
        <f>FALSE()</f>
        <v>0</v>
      </c>
      <c r="E104" s="6"/>
      <c r="F104" s="6" t="s">
        <v>10</v>
      </c>
      <c r="G104" s="6"/>
    </row>
    <row r="105" spans="1:7" x14ac:dyDescent="0.3">
      <c r="A105" s="6" t="s">
        <v>31</v>
      </c>
      <c r="B105" s="6" t="s">
        <v>19</v>
      </c>
      <c r="C105" s="6" t="s">
        <v>20</v>
      </c>
      <c r="D105" s="6">
        <v>25</v>
      </c>
      <c r="E105" s="6" t="s">
        <v>21</v>
      </c>
      <c r="F105" s="6" t="s">
        <v>22</v>
      </c>
      <c r="G105" s="6"/>
    </row>
    <row r="106" spans="1:7" x14ac:dyDescent="0.3">
      <c r="A106" s="6" t="s">
        <v>31</v>
      </c>
      <c r="B106" s="6" t="s">
        <v>11</v>
      </c>
      <c r="C106" s="6" t="s">
        <v>12</v>
      </c>
      <c r="D106" s="6">
        <v>5000</v>
      </c>
      <c r="E106" s="6" t="s">
        <v>13</v>
      </c>
      <c r="F106" s="6" t="s">
        <v>14</v>
      </c>
      <c r="G106" s="6"/>
    </row>
    <row r="107" spans="1:7" x14ac:dyDescent="0.3">
      <c r="A107" s="6" t="s">
        <v>31</v>
      </c>
      <c r="B107" s="6" t="s">
        <v>32</v>
      </c>
      <c r="C107" s="6" t="s">
        <v>12</v>
      </c>
      <c r="D107" s="6">
        <v>450</v>
      </c>
      <c r="E107" s="6" t="s">
        <v>13</v>
      </c>
      <c r="F107" s="6" t="s">
        <v>33</v>
      </c>
      <c r="G107" s="6"/>
    </row>
    <row r="108" spans="1:7" x14ac:dyDescent="0.3">
      <c r="A108" s="6" t="s">
        <v>31</v>
      </c>
      <c r="B108" s="6" t="s">
        <v>17</v>
      </c>
      <c r="C108" s="6" t="s">
        <v>12</v>
      </c>
      <c r="D108" s="6">
        <v>0</v>
      </c>
      <c r="E108" s="6" t="s">
        <v>13</v>
      </c>
      <c r="F108" s="6" t="s">
        <v>18</v>
      </c>
      <c r="G108" s="6"/>
    </row>
    <row r="109" spans="1:7" x14ac:dyDescent="0.3">
      <c r="A109" s="6" t="s">
        <v>31</v>
      </c>
      <c r="B109" s="6" t="s">
        <v>47</v>
      </c>
      <c r="C109" s="6" t="s">
        <v>12</v>
      </c>
      <c r="D109" s="6">
        <v>500</v>
      </c>
      <c r="E109" s="6" t="s">
        <v>60</v>
      </c>
      <c r="F109" s="6" t="s">
        <v>48</v>
      </c>
      <c r="G109" s="6"/>
    </row>
    <row r="110" spans="1:7" x14ac:dyDescent="0.3">
      <c r="A110" s="6" t="s">
        <v>31</v>
      </c>
      <c r="B110" s="6" t="s">
        <v>43</v>
      </c>
      <c r="C110" s="6" t="s">
        <v>12</v>
      </c>
      <c r="D110" s="6">
        <v>50</v>
      </c>
      <c r="E110" s="6" t="s">
        <v>60</v>
      </c>
      <c r="F110" s="6" t="s">
        <v>44</v>
      </c>
      <c r="G110" s="6"/>
    </row>
    <row r="111" spans="1:7" x14ac:dyDescent="0.3">
      <c r="A111" s="6" t="s">
        <v>31</v>
      </c>
      <c r="B111" s="6" t="s">
        <v>45</v>
      </c>
      <c r="C111" s="6" t="s">
        <v>12</v>
      </c>
      <c r="D111" s="6">
        <v>100</v>
      </c>
      <c r="E111" s="6" t="s">
        <v>35</v>
      </c>
      <c r="F111" s="6" t="s">
        <v>46</v>
      </c>
      <c r="G111" s="6"/>
    </row>
    <row r="112" spans="1:7" x14ac:dyDescent="0.3">
      <c r="A112" s="6" t="s">
        <v>31</v>
      </c>
      <c r="B112" s="6" t="s">
        <v>39</v>
      </c>
      <c r="C112" s="6" t="s">
        <v>12</v>
      </c>
      <c r="D112" s="6">
        <v>47.91</v>
      </c>
      <c r="E112" s="6" t="s">
        <v>35</v>
      </c>
      <c r="F112" s="6" t="s">
        <v>40</v>
      </c>
      <c r="G112" s="6"/>
    </row>
    <row r="113" spans="1:7" x14ac:dyDescent="0.3">
      <c r="A113" s="6" t="s">
        <v>31</v>
      </c>
      <c r="B113" s="6" t="s">
        <v>41</v>
      </c>
      <c r="C113" s="6" t="s">
        <v>12</v>
      </c>
      <c r="D113" s="6">
        <v>9.9600000000000009</v>
      </c>
      <c r="E113" s="6" t="s">
        <v>35</v>
      </c>
      <c r="F113" s="6" t="s">
        <v>42</v>
      </c>
      <c r="G113" s="6"/>
    </row>
    <row r="114" spans="1:7" x14ac:dyDescent="0.3">
      <c r="A114" s="6" t="s">
        <v>31</v>
      </c>
      <c r="B114" s="6" t="s">
        <v>15</v>
      </c>
      <c r="C114" s="6" t="s">
        <v>12</v>
      </c>
      <c r="D114" s="6">
        <v>30</v>
      </c>
      <c r="E114" s="6" t="s">
        <v>13</v>
      </c>
      <c r="F114" s="6" t="s">
        <v>16</v>
      </c>
      <c r="G114" s="6"/>
    </row>
    <row r="115" spans="1:7" x14ac:dyDescent="0.3">
      <c r="A115" s="6" t="s">
        <v>31</v>
      </c>
      <c r="B115" s="6" t="s">
        <v>43</v>
      </c>
      <c r="C115" s="6" t="s">
        <v>12</v>
      </c>
      <c r="D115" s="6">
        <v>50</v>
      </c>
      <c r="E115" s="6" t="s">
        <v>13</v>
      </c>
      <c r="F115" s="6" t="s">
        <v>44</v>
      </c>
      <c r="G115" s="6"/>
    </row>
    <row r="116" spans="1:7" x14ac:dyDescent="0.3">
      <c r="A116" s="6" t="s">
        <v>154</v>
      </c>
      <c r="B116" s="6" t="s">
        <v>168</v>
      </c>
      <c r="C116" s="6" t="s">
        <v>155</v>
      </c>
      <c r="D116" s="6" t="s">
        <v>170</v>
      </c>
      <c r="E116" s="6" t="s">
        <v>156</v>
      </c>
      <c r="F116" s="6" t="s">
        <v>157</v>
      </c>
      <c r="G116" s="6"/>
    </row>
    <row r="117" spans="1:7" x14ac:dyDescent="0.3">
      <c r="A117" s="6" t="s">
        <v>154</v>
      </c>
      <c r="B117" s="6" t="s">
        <v>8</v>
      </c>
      <c r="C117" s="6" t="s">
        <v>9</v>
      </c>
      <c r="D117" s="6" t="b">
        <f>FALSE()</f>
        <v>0</v>
      </c>
      <c r="E117" s="6"/>
      <c r="F117" s="6" t="s">
        <v>10</v>
      </c>
      <c r="G117" s="6"/>
    </row>
    <row r="118" spans="1:7" x14ac:dyDescent="0.3">
      <c r="A118" s="6" t="s">
        <v>154</v>
      </c>
      <c r="B118" s="6" t="s">
        <v>19</v>
      </c>
      <c r="C118" s="6" t="s">
        <v>20</v>
      </c>
      <c r="D118" s="6">
        <v>8</v>
      </c>
      <c r="E118" s="6" t="s">
        <v>21</v>
      </c>
      <c r="F118" s="6" t="s">
        <v>22</v>
      </c>
      <c r="G118" s="6"/>
    </row>
    <row r="119" spans="1:7" x14ac:dyDescent="0.3">
      <c r="A119" s="6" t="s">
        <v>154</v>
      </c>
      <c r="B119" s="6" t="s">
        <v>141</v>
      </c>
      <c r="C119" s="6" t="s">
        <v>12</v>
      </c>
      <c r="D119" s="6">
        <v>-1</v>
      </c>
      <c r="E119" s="6" t="s">
        <v>21</v>
      </c>
      <c r="F119" s="6" t="s">
        <v>144</v>
      </c>
      <c r="G119" s="6"/>
    </row>
    <row r="120" spans="1:7" x14ac:dyDescent="0.3">
      <c r="A120" s="6" t="s">
        <v>154</v>
      </c>
      <c r="B120" s="6" t="s">
        <v>177</v>
      </c>
      <c r="C120" s="6" t="s">
        <v>12</v>
      </c>
      <c r="D120" s="6">
        <v>22500</v>
      </c>
      <c r="E120" s="6" t="s">
        <v>13</v>
      </c>
      <c r="F120" s="6" t="s">
        <v>181</v>
      </c>
      <c r="G120" s="6"/>
    </row>
    <row r="121" spans="1:7" x14ac:dyDescent="0.3">
      <c r="A121" s="6" t="s">
        <v>154</v>
      </c>
      <c r="B121" s="6" t="s">
        <v>178</v>
      </c>
      <c r="C121" s="6" t="s">
        <v>12</v>
      </c>
      <c r="D121" s="6">
        <v>24750</v>
      </c>
      <c r="E121" s="6" t="s">
        <v>13</v>
      </c>
      <c r="F121" s="6" t="s">
        <v>180</v>
      </c>
      <c r="G121" s="6"/>
    </row>
    <row r="122" spans="1:7" x14ac:dyDescent="0.3">
      <c r="A122" s="6" t="s">
        <v>154</v>
      </c>
      <c r="B122" s="6" t="s">
        <v>179</v>
      </c>
      <c r="C122" s="6" t="s">
        <v>12</v>
      </c>
      <c r="D122" s="6">
        <v>11250</v>
      </c>
      <c r="E122" s="6" t="s">
        <v>13</v>
      </c>
      <c r="F122" s="6" t="s">
        <v>182</v>
      </c>
      <c r="G122" s="6"/>
    </row>
    <row r="123" spans="1:7" x14ac:dyDescent="0.3">
      <c r="A123" s="6" t="s">
        <v>154</v>
      </c>
      <c r="B123" s="6" t="s">
        <v>15</v>
      </c>
      <c r="C123" s="6" t="s">
        <v>12</v>
      </c>
      <c r="D123" s="6">
        <v>35</v>
      </c>
      <c r="E123" s="6" t="s">
        <v>13</v>
      </c>
      <c r="F123" s="6" t="s">
        <v>16</v>
      </c>
      <c r="G123" s="6"/>
    </row>
  </sheetData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operator="equal" allowBlank="1" showInputMessage="1" showErrorMessage="1" xr:uid="{00000000-0002-0000-0000-000000000000}">
          <x14:formula1>
            <xm:f>Sheet2!$A$2:$A$11</xm:f>
          </x14:formula1>
          <x14:formula2>
            <xm:f>0</xm:f>
          </x14:formula2>
          <xm:sqref>E2:E22 E24:E1123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zoomScaleNormal="100" workbookViewId="0">
      <selection activeCell="A7" sqref="A7"/>
    </sheetView>
  </sheetViews>
  <sheetFormatPr defaultColWidth="8.88671875" defaultRowHeight="14.4" x14ac:dyDescent="0.3"/>
  <cols>
    <col min="1" max="1" width="16.33203125" customWidth="1"/>
  </cols>
  <sheetData>
    <row r="1" spans="1:1" x14ac:dyDescent="0.3">
      <c r="A1" s="1" t="s">
        <v>158</v>
      </c>
    </row>
    <row r="2" spans="1:1" x14ac:dyDescent="0.3">
      <c r="A2" t="s">
        <v>13</v>
      </c>
    </row>
    <row r="3" spans="1:1" x14ac:dyDescent="0.3">
      <c r="A3" t="s">
        <v>54</v>
      </c>
    </row>
    <row r="4" spans="1:1" x14ac:dyDescent="0.3">
      <c r="A4" t="s">
        <v>21</v>
      </c>
    </row>
    <row r="5" spans="1:1" x14ac:dyDescent="0.3">
      <c r="A5" t="s">
        <v>97</v>
      </c>
    </row>
    <row r="6" spans="1:1" x14ac:dyDescent="0.3">
      <c r="A6" t="s">
        <v>35</v>
      </c>
    </row>
    <row r="7" spans="1:1" x14ac:dyDescent="0.3">
      <c r="A7" t="s">
        <v>156</v>
      </c>
    </row>
    <row r="8" spans="1:1" x14ac:dyDescent="0.3">
      <c r="A8" t="s">
        <v>60</v>
      </c>
    </row>
    <row r="9" spans="1:1" x14ac:dyDescent="0.3">
      <c r="A9" t="s">
        <v>63</v>
      </c>
    </row>
    <row r="10" spans="1:1" x14ac:dyDescent="0.3">
      <c r="A10" t="s">
        <v>159</v>
      </c>
    </row>
    <row r="11" spans="1:1" x14ac:dyDescent="0.3">
      <c r="A11" t="s">
        <v>160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Fellerer, Jonathan</dc:creator>
  <dc:description/>
  <cp:lastModifiedBy>Fellerer, Jonathan</cp:lastModifiedBy>
  <cp:revision>20</cp:revision>
  <dcterms:created xsi:type="dcterms:W3CDTF">2024-03-18T11:20:48Z</dcterms:created>
  <dcterms:modified xsi:type="dcterms:W3CDTF">2025-06-20T13:04:46Z</dcterms:modified>
  <dc:language>en-GB</dc:language>
</cp:coreProperties>
</file>